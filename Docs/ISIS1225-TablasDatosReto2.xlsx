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Lina/Downloads/"/>
    </mc:Choice>
  </mc:AlternateContent>
  <xr:revisionPtr revIDLastSave="6" documentId="13_ncr:1_{4A5DBDDE-59DE-4983-A5DD-216DD4370536}" xr6:coauthVersionLast="47" xr6:coauthVersionMax="47" xr10:uidLastSave="{DBD65B10-B751-40ED-8957-A37F9DC21957}"/>
  <bookViews>
    <workbookView xWindow="0" yWindow="660" windowWidth="29040" windowHeight="15720" xr2:uid="{D82936D8-D2C9-4EB2-9CBC-3665F65B95FD}"/>
  </bookViews>
  <sheets>
    <sheet name="01-Data Req. 4" sheetId="1" r:id="rId1"/>
    <sheet name="02-Gráfica Req. 4" sheetId="8" r:id="rId2"/>
    <sheet name="03-Análisis Req. 4" sheetId="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H19" i="1"/>
  <c r="H20" i="1"/>
  <c r="H21" i="1"/>
  <c r="H22" i="1"/>
  <c r="H23" i="1"/>
  <c r="H24" i="1"/>
  <c r="H25" i="1"/>
  <c r="H26" i="1"/>
  <c r="H17" i="1"/>
  <c r="H4" i="1"/>
  <c r="H5" i="1"/>
  <c r="H6" i="1"/>
  <c r="H7" i="1"/>
  <c r="H8" i="1"/>
  <c r="H9" i="1"/>
  <c r="H10" i="1"/>
  <c r="H11" i="1"/>
  <c r="H12" i="1"/>
  <c r="H3" i="1"/>
  <c r="B17" i="1"/>
  <c r="B18" i="1"/>
  <c r="B19" i="1"/>
  <c r="B20" i="1"/>
  <c r="B21" i="1"/>
  <c r="B22" i="1"/>
  <c r="B23" i="1"/>
  <c r="B24" i="1"/>
  <c r="B25" i="1"/>
  <c r="B26" i="1"/>
  <c r="B3" i="1"/>
  <c r="B4" i="1"/>
  <c r="B5" i="1"/>
  <c r="B6" i="1"/>
  <c r="B7" i="1"/>
  <c r="B8" i="1"/>
  <c r="B9" i="1"/>
  <c r="B10" i="1"/>
  <c r="B11" i="1"/>
  <c r="B12" i="1"/>
</calcChain>
</file>

<file path=xl/sharedStrings.xml><?xml version="1.0" encoding="utf-8"?>
<sst xmlns="http://schemas.openxmlformats.org/spreadsheetml/2006/main" count="23" uniqueCount="21">
  <si>
    <t>TIEMPOS PARA REQUERIMIENTO 4 - RETO 1</t>
  </si>
  <si>
    <t>Porcentaje de la muestra</t>
  </si>
  <si>
    <t>Tamaño de la muestra</t>
  </si>
  <si>
    <t>Tiempo1</t>
  </si>
  <si>
    <t>Tiempo2</t>
  </si>
  <si>
    <t>Tiempo3</t>
  </si>
  <si>
    <t>Tiempo4</t>
  </si>
  <si>
    <t>Tiempo5</t>
  </si>
  <si>
    <t>Tiempo promedio (Reto 1)</t>
  </si>
  <si>
    <t>TIEMPOS PARA REQUERIMIENTO 4 - RETO 2</t>
  </si>
  <si>
    <t>Tiempo 1</t>
  </si>
  <si>
    <t>Tiempo 2</t>
  </si>
  <si>
    <t>Tiempo 3</t>
  </si>
  <si>
    <t>Tiempo 4</t>
  </si>
  <si>
    <t>Tiempo 5</t>
  </si>
  <si>
    <t>Tiempo promedio (Reto 2)</t>
  </si>
  <si>
    <t>Preguntas de análisis</t>
  </si>
  <si>
    <t>Respuestas</t>
  </si>
  <si>
    <t>Al analizar los tiempos promedio obtenidos para el requerimiento 4 en el Reto 1 y el Reto 2, ¿Qué diferencias se observan en el comportamiento a medida que aumenta el tamaño del archivo .csv? Explicar qué indican esos resultados sobre el rendimiento temporal de cada estructura de datos.</t>
  </si>
  <si>
    <t>Comparar la complejidad temporal teórica del requerimiento 4 implementado con las estructuras de datos del reto 1 frente a la implementación con tablas hash. ¿Teóricamente sobre cual Estructura de Datos se tiene mejor eficiencia temporal? ¿Los resultados experimentales demuestran el mismo resultado?</t>
  </si>
  <si>
    <t>A partir del análisis teórico y experimental realizado, ¿qué conclusión puede obtener sobre el impacto de la estructura de datos en el rendimiento de un algoritmo? ¿Es importante la selección de una estructura de datos específica según el tipo de requerimiento?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</si>
</sst>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Dax-Regular"/>
    </font>
    <font>
      <b/>
      <sz val="11"/>
      <color rgb="FF000000"/>
      <name val="Dax-Regular"/>
    </font>
    <font>
      <b/>
      <sz val="11"/>
      <color theme="1"/>
      <name val="Dax-Regular"/>
    </font>
    <font>
      <sz val="11"/>
      <color theme="0"/>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69E76"/>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10" fontId="1" fillId="0" borderId="0" xfId="0" applyNumberFormat="1" applyFont="1" applyAlignment="1">
      <alignment horizontal="center" vertical="center" wrapText="1"/>
    </xf>
    <xf numFmtId="2" fontId="1" fillId="0" borderId="0" xfId="0" applyNumberFormat="1" applyFont="1" applyAlignment="1">
      <alignment horizontal="center" vertical="center"/>
    </xf>
    <xf numFmtId="0" fontId="2" fillId="0" borderId="0" xfId="0" applyFont="1" applyAlignment="1">
      <alignment horizontal="center" vertical="center" wrapText="1"/>
    </xf>
    <xf numFmtId="0" fontId="3" fillId="0" borderId="0" xfId="0" applyFont="1"/>
    <xf numFmtId="0" fontId="4" fillId="0" borderId="0" xfId="0" applyFont="1"/>
    <xf numFmtId="0" fontId="0" fillId="0" borderId="1" xfId="0" applyBorder="1"/>
    <xf numFmtId="0" fontId="0" fillId="4" borderId="1" xfId="0" applyFill="1" applyBorder="1" applyAlignment="1">
      <alignment horizontal="left" vertical="center" wrapText="1"/>
    </xf>
    <xf numFmtId="0" fontId="5" fillId="2" borderId="0" xfId="0" applyFont="1" applyFill="1" applyAlignment="1">
      <alignment horizontal="center" vertical="center"/>
    </xf>
    <xf numFmtId="0" fontId="5" fillId="3" borderId="0" xfId="0" applyFont="1" applyFill="1" applyAlignment="1">
      <alignment horizontal="center"/>
    </xf>
  </cellXfs>
  <cellStyles count="1">
    <cellStyle name="Normal" xfId="0" builtinId="0"/>
  </cellStyles>
  <dxfs count="20">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justify"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colors>
    <mruColors>
      <color rgb="FFF69E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_trad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Comparación de tiempos de ejecucion para</a:t>
            </a:r>
            <a:r>
              <a:rPr lang="en-US" b="1" baseline="0"/>
              <a:t> el Requerimiento 4</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'01-Data Req. 4'!$H$2</c:f>
              <c:strCache>
                <c:ptCount val="1"/>
                <c:pt idx="0">
                  <c:v>Tiempo promedio (Reto 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63811854896437"/>
                  <c:y val="-3.2945200031814204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4'!$A$3:$A$14</c:f>
              <c:numCache>
                <c:formatCode>0.00%</c:formatCode>
                <c:ptCount val="12"/>
                <c:pt idx="0">
                  <c:v>0.1</c:v>
                </c:pt>
                <c:pt idx="1">
                  <c:v>0.2</c:v>
                </c:pt>
                <c:pt idx="2">
                  <c:v>0.3</c:v>
                </c:pt>
                <c:pt idx="3">
                  <c:v>0.4</c:v>
                </c:pt>
                <c:pt idx="4">
                  <c:v>0.5</c:v>
                </c:pt>
                <c:pt idx="5">
                  <c:v>0.6</c:v>
                </c:pt>
                <c:pt idx="6">
                  <c:v>0.7</c:v>
                </c:pt>
                <c:pt idx="7">
                  <c:v>0.8</c:v>
                </c:pt>
                <c:pt idx="8">
                  <c:v>0.9</c:v>
                </c:pt>
                <c:pt idx="9">
                  <c:v>1</c:v>
                </c:pt>
              </c:numCache>
            </c:numRef>
          </c:xVal>
          <c:yVal>
            <c:numRef>
              <c:f>'01-Data Req. 4'!$C$3:$C$14</c:f>
              <c:numCache>
                <c:formatCode>0.00</c:formatCode>
                <c:ptCount val="12"/>
                <c:pt idx="0">
                  <c:v>13.613</c:v>
                </c:pt>
                <c:pt idx="1">
                  <c:v>39.661</c:v>
                </c:pt>
                <c:pt idx="2">
                  <c:v>46.606</c:v>
                </c:pt>
                <c:pt idx="3">
                  <c:v>75.792</c:v>
                </c:pt>
                <c:pt idx="4">
                  <c:v>122.269</c:v>
                </c:pt>
                <c:pt idx="5">
                  <c:v>110.283</c:v>
                </c:pt>
                <c:pt idx="6">
                  <c:v>193.525</c:v>
                </c:pt>
                <c:pt idx="7">
                  <c:v>176.463</c:v>
                </c:pt>
                <c:pt idx="8">
                  <c:v>115.583</c:v>
                </c:pt>
                <c:pt idx="9">
                  <c:v>140.457</c:v>
                </c:pt>
              </c:numCache>
            </c:numRef>
          </c:yVal>
          <c:smooth val="1"/>
          <c:extLst>
            <c:ext xmlns:c16="http://schemas.microsoft.com/office/drawing/2014/chart" uri="{C3380CC4-5D6E-409C-BE32-E72D297353CC}">
              <c16:uniqueId val="{00000000-B3D4-4A09-BEFF-C643A08A798B}"/>
            </c:ext>
          </c:extLst>
        </c:ser>
        <c:ser>
          <c:idx val="1"/>
          <c:order val="1"/>
          <c:tx>
            <c:strRef>
              <c:f>'01-Data Req. 4'!$H$16</c:f>
              <c:strCache>
                <c:ptCount val="1"/>
                <c:pt idx="0">
                  <c:v>Tiempo promedio (Reto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593553005287829E-2"/>
                  <c:y val="0.123767279090113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4'!$A$17:$A$26</c:f>
              <c:numCache>
                <c:formatCode>0.00%</c:formatCode>
                <c:ptCount val="10"/>
                <c:pt idx="0">
                  <c:v>0.1</c:v>
                </c:pt>
                <c:pt idx="1">
                  <c:v>0.2</c:v>
                </c:pt>
                <c:pt idx="2">
                  <c:v>0.3</c:v>
                </c:pt>
                <c:pt idx="3">
                  <c:v>0.4</c:v>
                </c:pt>
                <c:pt idx="4">
                  <c:v>0.5</c:v>
                </c:pt>
                <c:pt idx="5">
                  <c:v>0.6</c:v>
                </c:pt>
                <c:pt idx="6">
                  <c:v>0.7</c:v>
                </c:pt>
                <c:pt idx="7">
                  <c:v>0.8</c:v>
                </c:pt>
                <c:pt idx="8">
                  <c:v>0.9</c:v>
                </c:pt>
                <c:pt idx="9">
                  <c:v>1</c:v>
                </c:pt>
              </c:numCache>
            </c:numRef>
          </c:xVal>
          <c:yVal>
            <c:numRef>
              <c:f>'01-Data Req. 4'!$H$17:$H$26</c:f>
              <c:numCache>
                <c:formatCode>General</c:formatCode>
                <c:ptCount val="10"/>
                <c:pt idx="0">
                  <c:v>0.0932</c:v>
                </c:pt>
                <c:pt idx="1">
                  <c:v>0.2116</c:v>
                </c:pt>
                <c:pt idx="2">
                  <c:v>0.329</c:v>
                </c:pt>
                <c:pt idx="3">
                  <c:v>0.431</c:v>
                </c:pt>
                <c:pt idx="4">
                  <c:v>0.5866</c:v>
                </c:pt>
                <c:pt idx="5">
                  <c:v>0.7856</c:v>
                </c:pt>
                <c:pt idx="6">
                  <c:v>0.83</c:v>
                </c:pt>
                <c:pt idx="7">
                  <c:v>0.9514</c:v>
                </c:pt>
                <c:pt idx="8">
                  <c:v>1.0912</c:v>
                </c:pt>
                <c:pt idx="9">
                  <c:v>1.217</c:v>
                </c:pt>
              </c:numCache>
            </c:numRef>
          </c:yVal>
          <c:smooth val="1"/>
          <c:extLst>
            <c:ext xmlns:c16="http://schemas.microsoft.com/office/drawing/2014/chart" uri="{C3380CC4-5D6E-409C-BE32-E72D297353CC}">
              <c16:uniqueId val="{00000001-B3D4-4A09-BEFF-C643A08A798B}"/>
            </c:ext>
          </c:extLst>
        </c:ser>
        <c:dLbls>
          <c:showLegendKey val="0"/>
          <c:showVal val="0"/>
          <c:showCatName val="0"/>
          <c:showSerName val="0"/>
          <c:showPercent val="0"/>
          <c:showBubbleSize val="0"/>
        </c:dLbls>
        <c:axId val="1328118000"/>
        <c:axId val="1328121328"/>
      </c:scatterChart>
      <c:valAx>
        <c:axId val="132811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Tamaño</a:t>
                </a:r>
                <a:r>
                  <a:rPr lang="en-US" b="1" baseline="0"/>
                  <a:t> de la muestra [Porcentaje]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21328"/>
        <c:crosses val="autoZero"/>
        <c:crossBetween val="midCat"/>
      </c:valAx>
      <c:valAx>
        <c:axId val="13281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 de Ejecución [ms]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8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D4D373F-B89D-476A-916E-D6B8B50B0AC1}">
  <sheetPr>
    <tabColor theme="9" tint="0.59999389629810485"/>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E62ACB43-BF23-44E0-A2C1-1BE0D48E22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D0253-75B0-4C0B-8972-D03303899249}" name="Table1" displayName="Table1" ref="A2:H12" totalsRowShown="0" headerRowDxfId="19" dataDxfId="18">
  <autoFilter ref="A2:H12" xr:uid="{072D0253-75B0-4C0B-8972-D0330389924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7AF2A2F-BC4B-404E-9B8B-256DA178E68B}" name="Porcentaje de la muestra" dataDxfId="17"/>
    <tableColumn id="2" xr3:uid="{23CECC62-35E0-466E-9502-4F5CC2E6F7A7}" name="Tamaño de la muestra" dataDxfId="16">
      <calculatedColumnFormula>Table1[[#This Row],[Porcentaje de la muestra]]*100000</calculatedColumnFormula>
    </tableColumn>
    <tableColumn id="6" xr3:uid="{1D7A89FD-B4C8-4B63-8144-3D2813CE09D2}" name="Tiempo1" dataDxfId="15"/>
    <tableColumn id="7" xr3:uid="{694553F5-E3D6-4DD7-9F82-2F775378069C}" name="Tiempo2" dataDxfId="14"/>
    <tableColumn id="10" xr3:uid="{DC77D538-1BF6-4CC8-A666-55E3AECB1094}" name="Tiempo3" dataDxfId="13"/>
    <tableColumn id="12" xr3:uid="{55DDEB9A-1D37-47AF-A22B-DCDED00B45F1}" name="Tiempo4" dataDxfId="12"/>
    <tableColumn id="13" xr3:uid="{18627A96-D9BD-4918-AC15-00FEC9F6C145}" name="Tiempo5" dataDxfId="11"/>
    <tableColumn id="3" xr3:uid="{19B1D273-887B-4392-991E-015D36D99E5B}" name="Tiempo promedio (Reto 1)" dataDxfId="10">
      <calculatedColumnFormula>AVERAGE(Table1[[#This Row],[Tiempo1]:[Tiempo5]])</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5EFFA4-2B65-46C5-8257-6884800B9577}" name="Table13" displayName="Table13" ref="A16:H26" totalsRowShown="0" headerRowDxfId="9" dataDxfId="8">
  <autoFilter ref="A16:H26" xr:uid="{5C24B5A8-1B8E-4092-B34A-66FF5413D10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6584851-71BC-4FF5-B248-C3F46BA653AF}" name="Porcentaje de la muestra" dataDxfId="7"/>
    <tableColumn id="2" xr3:uid="{4F9B7329-040C-4D35-96E7-B9181424DC65}" name="Tamaño de la muestra" dataDxfId="6">
      <calculatedColumnFormula>Table13[[#This Row],[Porcentaje de la muestra]]*100000</calculatedColumnFormula>
    </tableColumn>
    <tableColumn id="6" xr3:uid="{73B8EDF2-52F3-4761-86EF-C7C71418F742}" name="Tiempo 1" dataDxfId="5"/>
    <tableColumn id="7" xr3:uid="{1E7534A5-4635-46DD-9452-9E4AA3B877EC}" name="Tiempo 2" dataDxfId="4"/>
    <tableColumn id="10" xr3:uid="{24936BC1-C83A-4407-814F-11214A4E9891}" name="Tiempo 3" dataDxfId="3"/>
    <tableColumn id="12" xr3:uid="{EBD8DFA2-3D20-4288-8498-555F04A9538F}" name="Tiempo 4" dataDxfId="2"/>
    <tableColumn id="13" xr3:uid="{44A85E6E-039D-4504-AD1E-8FF29C055C05}" name="Tiempo 5" dataDxfId="1"/>
    <tableColumn id="3" xr3:uid="{BDA028DF-4CED-4928-B040-96AD8F8A43EB}" name="Tiempo promedio (Reto 2)" dataDxfId="0">
      <calculatedColumnFormula>AVERAGE(Table13[[#This Row],[Tiempo 1]:[Tiempo 5]])</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4742-4EBB-4241-AC8A-0E5F24F7BB7B}">
  <dimension ref="A1:H26"/>
  <sheetViews>
    <sheetView tabSelected="1" topLeftCell="A4" zoomScale="130" zoomScaleNormal="130" workbookViewId="0"/>
  </sheetViews>
  <sheetFormatPr baseColWidth="10" defaultColWidth="8.83203125" defaultRowHeight="15"/>
  <cols>
    <col min="1" max="1" width="19.1640625" style="1" bestFit="1" customWidth="1"/>
    <col min="2" max="2" width="25.5" style="1" bestFit="1" customWidth="1"/>
    <col min="3" max="4" width="10.5" style="1" bestFit="1" customWidth="1"/>
    <col min="5" max="5" width="10.5" style="6" bestFit="1" customWidth="1"/>
    <col min="6" max="7" width="10.5" bestFit="1" customWidth="1"/>
    <col min="8" max="12" width="24.5" customWidth="1"/>
  </cols>
  <sheetData>
    <row r="1" spans="1:8" ht="14.25" customHeight="1">
      <c r="C1" s="9" t="s">
        <v>0</v>
      </c>
      <c r="D1" s="9"/>
      <c r="E1" s="9"/>
      <c r="F1" s="9"/>
      <c r="G1" s="9"/>
      <c r="H1" s="9"/>
    </row>
    <row r="2" spans="1:8" s="5" customFormat="1" ht="32">
      <c r="A2" s="4" t="s">
        <v>1</v>
      </c>
      <c r="B2" s="4" t="s">
        <v>2</v>
      </c>
      <c r="C2" s="4" t="s">
        <v>3</v>
      </c>
      <c r="D2" s="4" t="s">
        <v>4</v>
      </c>
      <c r="E2" s="4" t="s">
        <v>5</v>
      </c>
      <c r="F2" s="4" t="s">
        <v>6</v>
      </c>
      <c r="G2" s="4" t="s">
        <v>7</v>
      </c>
      <c r="H2" s="4" t="s">
        <v>8</v>
      </c>
    </row>
    <row r="3" spans="1:8" s="5" customFormat="1">
      <c r="A3" s="2">
        <v>0.1</v>
      </c>
      <c r="B3" s="3">
        <f>Table1[[#This Row],[Porcentaje de la muestra]]*100000</f>
        <v>10000</v>
      </c>
      <c r="C3" s="3">
        <v>13.613</v>
      </c>
      <c r="D3" s="3">
        <v>9.609</v>
      </c>
      <c r="E3" s="3">
        <v>10.628</v>
      </c>
      <c r="F3" s="3">
        <v>10.745</v>
      </c>
      <c r="G3" s="3">
        <v>10.594</v>
      </c>
      <c r="H3" s="4">
        <f>AVERAGE(Table1[[#This Row],[Tiempo1]:[Tiempo5]])</f>
        <v>11.0378</v>
      </c>
    </row>
    <row r="4" spans="1:8" s="5" customFormat="1">
      <c r="A4" s="2">
        <v>0.2</v>
      </c>
      <c r="B4" s="3">
        <f>Table1[[#This Row],[Porcentaje de la muestra]]*100000</f>
        <v>20000</v>
      </c>
      <c r="C4" s="3">
        <v>39.661</v>
      </c>
      <c r="D4" s="3">
        <v>22.863</v>
      </c>
      <c r="E4" s="3">
        <v>31.569</v>
      </c>
      <c r="F4" s="3">
        <v>22.234</v>
      </c>
      <c r="G4" s="3">
        <v>21.833</v>
      </c>
      <c r="H4" s="4">
        <f>AVERAGE(Table1[[#This Row],[Tiempo1]:[Tiempo5]])</f>
        <v>27.632</v>
      </c>
    </row>
    <row r="5" spans="1:8">
      <c r="A5" s="2">
        <v>0.3</v>
      </c>
      <c r="B5" s="3">
        <f>Table1[[#This Row],[Porcentaje de la muestra]]*100000</f>
        <v>30000</v>
      </c>
      <c r="C5" s="3">
        <v>46.606</v>
      </c>
      <c r="D5" s="3">
        <v>40.239</v>
      </c>
      <c r="E5" s="3">
        <v>49.629</v>
      </c>
      <c r="F5" s="3">
        <v>34.371</v>
      </c>
      <c r="G5" s="3">
        <v>34.763</v>
      </c>
      <c r="H5" s="4">
        <f>AVERAGE(Table1[[#This Row],[Tiempo1]:[Tiempo5]])</f>
        <v>41.1216</v>
      </c>
    </row>
    <row r="6" spans="1:8">
      <c r="A6" s="2">
        <v>0.4</v>
      </c>
      <c r="B6" s="3">
        <f>Table1[[#This Row],[Porcentaje de la muestra]]*100000</f>
        <v>40000</v>
      </c>
      <c r="C6" s="3">
        <v>75.792</v>
      </c>
      <c r="D6" s="3">
        <v>52.09</v>
      </c>
      <c r="E6" s="3">
        <v>52.052</v>
      </c>
      <c r="F6" s="3">
        <v>80.198</v>
      </c>
      <c r="G6" s="3">
        <v>59.646</v>
      </c>
      <c r="H6" s="4">
        <f>AVERAGE(Table1[[#This Row],[Tiempo1]:[Tiempo5]])</f>
        <v>63.9556</v>
      </c>
    </row>
    <row r="7" spans="1:8">
      <c r="A7" s="2">
        <v>0.5</v>
      </c>
      <c r="B7" s="3">
        <f>Table1[[#This Row],[Porcentaje de la muestra]]*100000</f>
        <v>50000</v>
      </c>
      <c r="C7" s="3">
        <v>122.269</v>
      </c>
      <c r="D7" s="3">
        <v>65.27</v>
      </c>
      <c r="E7" s="3">
        <v>65.37</v>
      </c>
      <c r="F7" s="3">
        <v>105.149</v>
      </c>
      <c r="G7" s="3">
        <v>64.13</v>
      </c>
      <c r="H7" s="4">
        <f>AVERAGE(Table1[[#This Row],[Tiempo1]:[Tiempo5]])</f>
        <v>84.4376</v>
      </c>
    </row>
    <row r="8" spans="1:8">
      <c r="A8" s="2">
        <v>0.6</v>
      </c>
      <c r="B8" s="3">
        <f>Table1[[#This Row],[Porcentaje de la muestra]]*100000</f>
        <v>60000</v>
      </c>
      <c r="C8" s="3">
        <v>110.283</v>
      </c>
      <c r="D8" s="3">
        <v>73.816</v>
      </c>
      <c r="E8" s="3">
        <v>108.011</v>
      </c>
      <c r="F8" s="3">
        <v>81.584</v>
      </c>
      <c r="G8" s="3">
        <v>130.262</v>
      </c>
      <c r="H8" s="4">
        <f>AVERAGE(Table1[[#This Row],[Tiempo1]:[Tiempo5]])</f>
        <v>100.7912</v>
      </c>
    </row>
    <row r="9" spans="1:8">
      <c r="A9" s="2">
        <v>0.7</v>
      </c>
      <c r="B9" s="3">
        <f>Table1[[#This Row],[Porcentaje de la muestra]]*100000</f>
        <v>70000</v>
      </c>
      <c r="C9" s="3">
        <v>193.525</v>
      </c>
      <c r="D9" s="3">
        <v>112.553</v>
      </c>
      <c r="E9" s="3">
        <v>187.573</v>
      </c>
      <c r="F9" s="3">
        <v>130.151</v>
      </c>
      <c r="G9" s="3">
        <v>182.972</v>
      </c>
      <c r="H9" s="4">
        <f>AVERAGE(Table1[[#This Row],[Tiempo1]:[Tiempo5]])</f>
        <v>161.3548</v>
      </c>
    </row>
    <row r="10" spans="1:8">
      <c r="A10" s="2">
        <v>0.8</v>
      </c>
      <c r="B10" s="3">
        <f>Table1[[#This Row],[Porcentaje de la muestra]]*100000</f>
        <v>80000</v>
      </c>
      <c r="C10" s="3">
        <v>176.463</v>
      </c>
      <c r="D10" s="3">
        <v>102.146</v>
      </c>
      <c r="E10" s="3">
        <v>144.907</v>
      </c>
      <c r="F10" s="3">
        <v>150.307</v>
      </c>
      <c r="G10" s="3">
        <v>105.814</v>
      </c>
      <c r="H10" s="4">
        <f>AVERAGE(Table1[[#This Row],[Tiempo1]:[Tiempo5]])</f>
        <v>135.9274</v>
      </c>
    </row>
    <row r="11" spans="1:8">
      <c r="A11" s="2">
        <v>0.9</v>
      </c>
      <c r="B11" s="3">
        <f>Table1[[#This Row],[Porcentaje de la muestra]]*100000</f>
        <v>90000</v>
      </c>
      <c r="C11" s="3">
        <v>115.583</v>
      </c>
      <c r="D11" s="3">
        <v>163.799</v>
      </c>
      <c r="E11" s="3">
        <v>172.816</v>
      </c>
      <c r="F11" s="3">
        <v>109.736</v>
      </c>
      <c r="G11" s="3">
        <v>164.671</v>
      </c>
      <c r="H11" s="4">
        <f>AVERAGE(Table1[[#This Row],[Tiempo1]:[Tiempo5]])</f>
        <v>145.321</v>
      </c>
    </row>
    <row r="12" spans="1:8">
      <c r="A12" s="2">
        <v>1</v>
      </c>
      <c r="B12" s="3">
        <f>Table1[[#This Row],[Porcentaje de la muestra]]*100000</f>
        <v>100000</v>
      </c>
      <c r="C12" s="3">
        <v>140.457</v>
      </c>
      <c r="D12" s="3">
        <v>199.269</v>
      </c>
      <c r="E12" s="3">
        <v>206.637</v>
      </c>
      <c r="F12" s="3">
        <v>211.608</v>
      </c>
      <c r="G12" s="3">
        <v>157.78</v>
      </c>
      <c r="H12" s="4">
        <f>AVERAGE(Table1[[#This Row],[Tiempo1]:[Tiempo5]])</f>
        <v>183.1502</v>
      </c>
    </row>
    <row r="13" spans="1:8">
      <c r="A13" s="2"/>
      <c r="B13" s="3"/>
      <c r="C13" s="4"/>
      <c r="D13" s="4"/>
      <c r="E13" s="4"/>
      <c r="F13" s="4"/>
      <c r="G13" s="4"/>
      <c r="H13" s="4"/>
    </row>
    <row r="15" spans="1:8" ht="14.25" customHeight="1">
      <c r="C15" s="10" t="s">
        <v>9</v>
      </c>
      <c r="D15" s="10"/>
      <c r="E15" s="10"/>
      <c r="F15" s="10"/>
      <c r="G15" s="10"/>
      <c r="H15" s="10"/>
    </row>
    <row r="16" spans="1:8" s="5" customFormat="1" ht="32">
      <c r="A16" s="4" t="s">
        <v>1</v>
      </c>
      <c r="B16" s="4" t="s">
        <v>2</v>
      </c>
      <c r="C16" s="4" t="s">
        <v>10</v>
      </c>
      <c r="D16" s="4" t="s">
        <v>11</v>
      </c>
      <c r="E16" s="4" t="s">
        <v>12</v>
      </c>
      <c r="F16" s="4" t="s">
        <v>13</v>
      </c>
      <c r="G16" s="4" t="s">
        <v>14</v>
      </c>
      <c r="H16" s="4" t="s">
        <v>15</v>
      </c>
    </row>
    <row r="17" spans="1:8" s="5" customFormat="1">
      <c r="A17" s="2">
        <v>0.1</v>
      </c>
      <c r="B17" s="3">
        <f>Table13[[#This Row],[Porcentaje de la muestra]]*100000</f>
        <v>10000</v>
      </c>
      <c r="C17" s="3">
        <v>0.191</v>
      </c>
      <c r="D17" s="3">
        <v>0.077</v>
      </c>
      <c r="E17" s="3">
        <v>0.067</v>
      </c>
      <c r="F17" s="3">
        <v>0.066</v>
      </c>
      <c r="G17" s="3">
        <v>0.065</v>
      </c>
      <c r="H17" s="4">
        <f>AVERAGE(Table13[[#This Row],[Tiempo 1]:[Tiempo 5]])</f>
        <v>0.0932</v>
      </c>
    </row>
    <row r="18" spans="1:8" s="5" customFormat="1">
      <c r="A18" s="2">
        <v>0.2</v>
      </c>
      <c r="B18" s="3">
        <f>Table13[[#This Row],[Porcentaje de la muestra]]*100000</f>
        <v>20000</v>
      </c>
      <c r="C18" s="3">
        <v>0.437</v>
      </c>
      <c r="D18" s="3">
        <v>0.164</v>
      </c>
      <c r="E18" s="3">
        <v>0.154</v>
      </c>
      <c r="F18" s="3">
        <v>0.152</v>
      </c>
      <c r="G18" s="3">
        <v>0.151</v>
      </c>
      <c r="H18" s="4">
        <f>AVERAGE(Table13[[#This Row],[Tiempo 1]:[Tiempo 5]])</f>
        <v>0.2116</v>
      </c>
    </row>
    <row r="19" spans="1:8">
      <c r="A19" s="2">
        <v>0.3</v>
      </c>
      <c r="B19" s="3">
        <f>Table13[[#This Row],[Porcentaje de la muestra]]*100000</f>
        <v>30000</v>
      </c>
      <c r="C19" s="3">
        <v>0.549</v>
      </c>
      <c r="D19" s="3">
        <v>0.334</v>
      </c>
      <c r="E19" s="3">
        <v>0.242</v>
      </c>
      <c r="F19" s="3">
        <v>0.264</v>
      </c>
      <c r="G19" s="3">
        <v>0.256</v>
      </c>
      <c r="H19" s="4">
        <f>AVERAGE(Table13[[#This Row],[Tiempo 1]:[Tiempo 5]])</f>
        <v>0.329</v>
      </c>
    </row>
    <row r="20" spans="1:8">
      <c r="A20" s="2">
        <v>0.4</v>
      </c>
      <c r="B20" s="3">
        <f>Table13[[#This Row],[Porcentaje de la muestra]]*100000</f>
        <v>40000</v>
      </c>
      <c r="C20" s="3">
        <v>0.767</v>
      </c>
      <c r="D20" s="3">
        <v>0.45</v>
      </c>
      <c r="E20" s="3">
        <v>0.318</v>
      </c>
      <c r="F20" s="3">
        <v>0.311</v>
      </c>
      <c r="G20" s="3">
        <v>0.309</v>
      </c>
      <c r="H20" s="4">
        <f>AVERAGE(Table13[[#This Row],[Tiempo 1]:[Tiempo 5]])</f>
        <v>0.431</v>
      </c>
    </row>
    <row r="21" spans="1:8">
      <c r="A21" s="2">
        <v>0.5</v>
      </c>
      <c r="B21" s="3">
        <f>Table13[[#This Row],[Porcentaje de la muestra]]*100000</f>
        <v>50000</v>
      </c>
      <c r="C21" s="3">
        <v>0.919</v>
      </c>
      <c r="D21" s="3">
        <v>0.679</v>
      </c>
      <c r="E21" s="3">
        <v>0.451</v>
      </c>
      <c r="F21" s="3">
        <v>0.45</v>
      </c>
      <c r="G21" s="3">
        <v>0.434</v>
      </c>
      <c r="H21" s="4">
        <f>AVERAGE(Table13[[#This Row],[Tiempo 1]:[Tiempo 5]])</f>
        <v>0.5866</v>
      </c>
    </row>
    <row r="22" spans="1:8">
      <c r="A22" s="2">
        <v>0.6</v>
      </c>
      <c r="B22" s="3">
        <f>Table13[[#This Row],[Porcentaje de la muestra]]*100000</f>
        <v>60000</v>
      </c>
      <c r="C22" s="3">
        <v>1.281</v>
      </c>
      <c r="D22" s="3">
        <v>1.049</v>
      </c>
      <c r="E22" s="3">
        <v>0.542</v>
      </c>
      <c r="F22" s="3">
        <v>0.531</v>
      </c>
      <c r="G22" s="3">
        <v>0.525</v>
      </c>
      <c r="H22" s="4">
        <f>AVERAGE(Table13[[#This Row],[Tiempo 1]:[Tiempo 5]])</f>
        <v>0.7856</v>
      </c>
    </row>
    <row r="23" spans="1:8">
      <c r="A23" s="2">
        <v>0.7</v>
      </c>
      <c r="B23" s="3">
        <f>Table13[[#This Row],[Porcentaje de la muestra]]*100000</f>
        <v>70000</v>
      </c>
      <c r="C23" s="3">
        <v>1.272</v>
      </c>
      <c r="D23" s="3">
        <v>0.968</v>
      </c>
      <c r="E23" s="3">
        <v>0.631</v>
      </c>
      <c r="F23" s="3">
        <v>0.648</v>
      </c>
      <c r="G23" s="3">
        <v>0.631</v>
      </c>
      <c r="H23" s="4">
        <f>AVERAGE(Table13[[#This Row],[Tiempo 1]:[Tiempo 5]])</f>
        <v>0.83</v>
      </c>
    </row>
    <row r="24" spans="1:8">
      <c r="A24" s="2">
        <v>0.8</v>
      </c>
      <c r="B24" s="3">
        <f>Table13[[#This Row],[Porcentaje de la muestra]]*100000</f>
        <v>80000</v>
      </c>
      <c r="C24" s="3">
        <v>1.507</v>
      </c>
      <c r="D24" s="3">
        <v>1.143</v>
      </c>
      <c r="E24" s="3">
        <v>0.72</v>
      </c>
      <c r="F24" s="3">
        <v>0.695</v>
      </c>
      <c r="G24" s="3">
        <v>0.692</v>
      </c>
      <c r="H24" s="4">
        <f>AVERAGE(Table13[[#This Row],[Tiempo 1]:[Tiempo 5]])</f>
        <v>0.9514</v>
      </c>
    </row>
    <row r="25" spans="1:8">
      <c r="A25" s="2">
        <v>0.9</v>
      </c>
      <c r="B25" s="3">
        <f>Table13[[#This Row],[Porcentaje de la muestra]]*100000</f>
        <v>90000</v>
      </c>
      <c r="C25" s="3">
        <v>1.659</v>
      </c>
      <c r="D25" s="3">
        <v>1.301</v>
      </c>
      <c r="E25" s="3">
        <v>0.819</v>
      </c>
      <c r="F25" s="3">
        <v>0.862</v>
      </c>
      <c r="G25" s="3">
        <v>0.815</v>
      </c>
      <c r="H25" s="4">
        <f>AVERAGE(Table13[[#This Row],[Tiempo 1]:[Tiempo 5]])</f>
        <v>1.0912</v>
      </c>
    </row>
    <row r="26" spans="1:8">
      <c r="A26" s="2">
        <v>1</v>
      </c>
      <c r="B26" s="3">
        <f>Table13[[#This Row],[Porcentaje de la muestra]]*100000</f>
        <v>100000</v>
      </c>
      <c r="C26" s="3">
        <v>1.785</v>
      </c>
      <c r="D26" s="3">
        <v>1.512</v>
      </c>
      <c r="E26" s="3">
        <v>0.911</v>
      </c>
      <c r="F26" s="3">
        <v>0.967</v>
      </c>
      <c r="G26" s="3">
        <v>0.91</v>
      </c>
      <c r="H26" s="4">
        <f>AVERAGE(Table13[[#This Row],[Tiempo 1]:[Tiempo 5]])</f>
        <v>1.217</v>
      </c>
    </row>
  </sheetData>
  <mergeCells count="2">
    <mergeCell ref="C1:H1"/>
    <mergeCell ref="C15:H15"/>
  </mergeCells>
  <phoneticPr fontId="6"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D320-7E14-4249-AED7-A0983CAA46F0}">
  <sheetPr>
    <tabColor theme="4" tint="0.79998168889431442"/>
  </sheetPr>
  <dimension ref="A1:B4"/>
  <sheetViews>
    <sheetView workbookViewId="0">
      <selection activeCell="A4" sqref="A4"/>
    </sheetView>
  </sheetViews>
  <sheetFormatPr baseColWidth="10" defaultColWidth="11.5" defaultRowHeight="15"/>
  <cols>
    <col min="1" max="1" width="61.83203125" customWidth="1"/>
    <col min="2" max="2" width="90.5" customWidth="1"/>
  </cols>
  <sheetData>
    <row r="1" spans="1:2">
      <c r="A1" s="7" t="s">
        <v>16</v>
      </c>
      <c r="B1" s="7" t="s">
        <v>17</v>
      </c>
    </row>
    <row r="2" spans="1:2" ht="110" customHeight="1">
      <c r="A2" s="8" t="s">
        <v>18</v>
      </c>
      <c r="B2" s="7" t="inlineStr">
        <is>
          <t>Todas las consultas fueron Truffle Gift Box en Japan, en el mismo computador y con los mismos archivos para los dos retos. En el Reto 1 el tiempo promedio crece de forma clara con el tamaño del archivo: pasa de aprox 11.0 ms con el 10 por ciento a aprox 183.2 ms con el 100 por ciento, porque el requerimiento copia y recorre toda la lista de pedidos sin importar cuántos cumplan el filtro. En el Reto 2 los tiempos son mucho menores, de aprox 0.09 ms a aprox 1.22 ms; también crecen, pero solo porque con más datos hay más pedidos de esa combinación (de 179 a 1838). Esto indica que con la lista el costo depende del total de pedidos y con la tabla de hash depende solo de los pedidos que se piden.</t>
        </is>
      </c>
    </row>
    <row r="3" spans="1:2" ht="110" customHeight="1">
      <c r="A3" s="8" t="s">
        <v>19</v>
      </c>
      <c r="B3" s="7" t="inlineStr">
        <is>
          <t>En el Reto 1 el requerimiento es O(n): se recorre la lista completa de n pedidos y se compara cada uno con el producto y el país. En el Reto 2 se hace un get del país en una tabla Separate Chaining y un get del producto en su tabla interna Linear Probing, ambos O(1) en promedio, y luego se recorren solo los q pedidos de esa combinación, así que es O(q) con q mucho menor que n. Teóricamente la tabla de hash tiene mejor eficiencia temporal y los resultados lo confirman: con el archivo completo el Reto 2 es aprox 150 veces más rápido que el Reto 1.</t>
        </is>
      </c>
    </row>
    <row r="4" spans="1:2" ht="110" customHeight="1">
      <c r="A4" s="8" t="s">
        <v>20</v>
      </c>
      <c r="B4" s="7" t="inlineStr">
        <is>
          <t>La estructura de datos cambia mucho el rendimiento aunque la consulta y el resultado sean exactamente los mismos. Elegir la estructura según el tipo de consulta es importante: cuando se busca por llave, como producto y país, una tabla de hash construida en la carga evita recorrer todos los datos en cada consulta. Además conviene construir pocas tablas que sirvan a varios requerimientos, porque cada tabla agrega costo a la carga.</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3858CF01A2EF24688B692775F4C60A4" ma:contentTypeVersion="17" ma:contentTypeDescription="Crear nuevo documento." ma:contentTypeScope="" ma:versionID="39f2afe36700b83939ba6e49cc253596">
  <xsd:schema xmlns:xsd="http://www.w3.org/2001/XMLSchema" xmlns:xs="http://www.w3.org/2001/XMLSchema" xmlns:p="http://schemas.microsoft.com/office/2006/metadata/properties" xmlns:ns2="164883f8-7691-4ecf-b54a-664c0d0edefe" xmlns:ns3="85e30bcc-d76c-4413-8e4d-2dce22fb0743" targetNamespace="http://schemas.microsoft.com/office/2006/metadata/properties" ma:root="true" ma:fieldsID="24098648399639f58895cd89d20500e6" ns2:_="" ns3:_="">
    <xsd:import namespace="164883f8-7691-4ecf-b54a-664c0d0edefe"/>
    <xsd:import namespace="85e30bcc-d76c-4413-8e4d-2dce22fb07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4883f8-7691-4ecf-b54a-664c0d0ede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e30bcc-d76c-4413-8e4d-2dce22fb074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6816d37-b675-4589-8225-e6a38877c704}" ma:internalName="TaxCatchAll" ma:showField="CatchAllData" ma:web="85e30bcc-d76c-4413-8e4d-2dce22fb0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85e30bcc-d76c-4413-8e4d-2dce22fb0743">
      <UserInfo>
        <DisplayName>Carlos Andres Lozano Garzon</DisplayName>
        <AccountId>13</AccountId>
        <AccountType/>
      </UserInfo>
      <UserInfo>
        <DisplayName>Dario Ernesto Correal Torres</DisplayName>
        <AccountId>15</AccountId>
        <AccountType/>
      </UserInfo>
      <UserInfo>
        <DisplayName>Mario  Fernando De la rosa Rosero</DisplayName>
        <AccountId>16</AccountId>
        <AccountType/>
      </UserInfo>
      <UserInfo>
        <DisplayName>Christian Camilo Aparicio Baquen</DisplayName>
        <AccountId>50</AccountId>
        <AccountType/>
      </UserInfo>
      <UserInfo>
        <DisplayName>Arturo Henao Chaparro</DisplayName>
        <AccountId>48</AccountId>
        <AccountType/>
      </UserInfo>
      <UserInfo>
        <DisplayName>Luis Esteban Florez Salamanca</DisplayName>
        <AccountId>33</AccountId>
        <AccountType/>
      </UserInfo>
      <UserInfo>
        <DisplayName>Ivan David Salazar Cardenas</DisplayName>
        <AccountId>52</AccountId>
        <AccountType/>
      </UserInfo>
      <UserInfo>
        <DisplayName>Juan Carlos Marin Morales</DisplayName>
        <AccountId>53</AccountId>
        <AccountType/>
      </UserInfo>
      <UserInfo>
        <DisplayName>Sofia Duque Gomez</DisplayName>
        <AccountId>60</AccountId>
        <AccountType/>
      </UserInfo>
      <UserInfo>
        <DisplayName>Andres Felipe Romero Brand</DisplayName>
        <AccountId>91</AccountId>
        <AccountType/>
      </UserInfo>
      <UserInfo>
        <DisplayName>Lindsay Vanessa Pinto Morato</DisplayName>
        <AccountId>92</AccountId>
        <AccountType/>
      </UserInfo>
      <UserInfo>
        <DisplayName>Miguel Angel Acosta Walteros</DisplayName>
        <AccountId>94</AccountId>
        <AccountType/>
      </UserInfo>
      <UserInfo>
        <DisplayName>Juan David Diaz Ipuz</DisplayName>
        <AccountId>90</AccountId>
        <AccountType/>
      </UserInfo>
      <UserInfo>
        <DisplayName>Lily Aitana valentina Duque Chavez</DisplayName>
        <AccountId>17</AccountId>
        <AccountType/>
      </UserInfo>
      <UserInfo>
        <DisplayName>Isaac David Bermudez Lara</DisplayName>
        <AccountId>95</AccountId>
        <AccountType/>
      </UserInfo>
      <UserInfo>
        <DisplayName>Daniel Alejandro Angel Fuertes</DisplayName>
        <AccountId>55</AccountId>
        <AccountType/>
      </UserInfo>
      <UserInfo>
        <DisplayName>Jeniffer Liliam Mendoza Espinosa</DisplayName>
        <AccountId>97</AccountId>
        <AccountType/>
      </UserInfo>
      <UserInfo>
        <DisplayName>Kevin Cohen Solano</DisplayName>
        <AccountId>93</AccountId>
        <AccountType/>
      </UserInfo>
      <UserInfo>
        <DisplayName>Cesar Luis Moreno Gonzalez</DisplayName>
        <AccountId>96</AccountId>
        <AccountType/>
      </UserInfo>
      <UserInfo>
        <DisplayName>Jose Cristobal Arroyo Castellanos</DisplayName>
        <AccountId>54</AccountId>
        <AccountType/>
      </UserInfo>
    </SharedWithUsers>
    <TaxCatchAll xmlns="85e30bcc-d76c-4413-8e4d-2dce22fb0743" xsi:nil="true"/>
    <lcf76f155ced4ddcb4097134ff3c332f xmlns="164883f8-7691-4ecf-b54a-664c0d0ede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DF3742-38F2-4B99-B335-CC4F04ED9F45}">
  <ds:schemaRefs>
    <ds:schemaRef ds:uri="http://schemas.microsoft.com/sharepoint/v3/contenttype/forms"/>
  </ds:schemaRefs>
</ds:datastoreItem>
</file>

<file path=customXml/itemProps2.xml><?xml version="1.0" encoding="utf-8"?>
<ds:datastoreItem xmlns:ds="http://schemas.openxmlformats.org/officeDocument/2006/customXml" ds:itemID="{5782CBBC-05AF-4A6B-A1AF-29EFB37A75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4883f8-7691-4ecf-b54a-664c0d0edefe"/>
    <ds:schemaRef ds:uri="85e30bcc-d76c-4413-8e4d-2dce22fb0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C5E1E0-C817-4769-9D2D-1DC296B681FA}">
  <ds:schemaRefs>
    <ds:schemaRef ds:uri="http://schemas.microsoft.com/office/2006/metadata/properties"/>
    <ds:schemaRef ds:uri="http://schemas.microsoft.com/office/infopath/2007/PartnerControls"/>
    <ds:schemaRef ds:uri="85e30bcc-d76c-4413-8e4d-2dce22fb0743"/>
    <ds:schemaRef ds:uri="164883f8-7691-4ecf-b54a-664c0d0edef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Gráficos</vt:lpstr>
      </vt:variant>
      <vt:variant>
        <vt:i4>1</vt:i4>
      </vt:variant>
    </vt:vector>
  </HeadingPairs>
  <TitlesOfParts>
    <vt:vector size="3" baseType="lpstr">
      <vt:lpstr>01-Data Req. 4</vt:lpstr>
      <vt:lpstr>03-Análisis Req. 4</vt:lpstr>
      <vt:lpstr>02-Gráfica Req.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Felipe Arteaga Martin</dc:creator>
  <cp:keywords/>
  <dc:description/>
  <cp:lastModifiedBy>Lina Maria Ojeda Amaya</cp:lastModifiedBy>
  <cp:revision/>
  <dcterms:created xsi:type="dcterms:W3CDTF">2021-02-18T03:17:26Z</dcterms:created>
  <dcterms:modified xsi:type="dcterms:W3CDTF">2026-10-08T23:53:11Z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0x01010023858CF01A2EF24688B692775F4C60A4</vt:lpwstr>
  </property>
  <property fmtid="{D5CDD505-2E9C-101B-9397-08002B2CF9AE}" pid="3" name="MediaServiceImageTags">
    <vt:lpwstr/>
  </property>
</Properties>
</file>